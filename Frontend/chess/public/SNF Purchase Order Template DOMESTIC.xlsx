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f\Downloads\"/>
    </mc:Choice>
  </mc:AlternateContent>
  <xr:revisionPtr revIDLastSave="0" documentId="13_ncr:1_{1E59E6A3-114E-401B-918B-F69357027F03}" xr6:coauthVersionLast="47" xr6:coauthVersionMax="47" xr10:uidLastSave="{00000000-0000-0000-0000-000000000000}"/>
  <bookViews>
    <workbookView xWindow="-120" yWindow="-120" windowWidth="21840" windowHeight="13140" xr2:uid="{855F06AB-EF4B-CA4A-AF7B-7CD091F28C78}"/>
  </bookViews>
  <sheets>
    <sheet name="Purchase 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1" l="1"/>
  <c r="B48" i="1"/>
  <c r="C22" i="1"/>
  <c r="F21" i="1"/>
  <c r="F20" i="1"/>
  <c r="F19" i="1"/>
  <c r="F22" i="1" l="1"/>
</calcChain>
</file>

<file path=xl/sharedStrings.xml><?xml version="1.0" encoding="utf-8"?>
<sst xmlns="http://schemas.openxmlformats.org/spreadsheetml/2006/main" count="76" uniqueCount="69">
  <si>
    <t>PURCHASE ORDER</t>
  </si>
  <si>
    <t>Date:</t>
  </si>
  <si>
    <t>_______________________</t>
  </si>
  <si>
    <t>SUN NUTRAFOODS</t>
  </si>
  <si>
    <t>(A division of Agro Solvent Products Pvt. Ltd.)</t>
  </si>
  <si>
    <t>PO NUMBER</t>
  </si>
  <si>
    <t>PO DATE</t>
  </si>
  <si>
    <t>CONSIGNEE</t>
  </si>
  <si>
    <t>PAYMENT TERMS</t>
  </si>
  <si>
    <t>INCOTERM / FREIGHT TERMS</t>
  </si>
  <si>
    <t>S.N.</t>
  </si>
  <si>
    <t>DESCRIPTION</t>
  </si>
  <si>
    <t>QTY IN MT</t>
  </si>
  <si>
    <t>TOTAL</t>
  </si>
  <si>
    <t>Bank Name:</t>
  </si>
  <si>
    <t>Bank Address:</t>
  </si>
  <si>
    <t>SWIFT Code:</t>
  </si>
  <si>
    <t>Account No:</t>
  </si>
  <si>
    <t>For SUN NUTRAFOODS</t>
  </si>
  <si>
    <t>Authorised Signatory</t>
  </si>
  <si>
    <t>SUN NUTRAFOODS (A division of Agro Solvent Products Pvt. Ltd.)
AKVN Road, Near M.P.E.B. Sub Station,
Village Khanpura, Mandideep,
District Raisen – 462046, INDIA
GSTIN: 23AACCA7855L3ZE
arun.naina@sunnutrafoods.com</t>
  </si>
  <si>
    <t>AKVN Road, Near MPEB Sub Station, Village Khanpura, Mandideep, District Raisen – 462046, INDIA [GSTIN: 23AACCA7855L3ZE]</t>
  </si>
  <si>
    <t>VISCOSITY</t>
  </si>
  <si>
    <t>MOISTURE</t>
  </si>
  <si>
    <t>ACID VALUE</t>
  </si>
  <si>
    <t>PEROXIDE VALUE</t>
  </si>
  <si>
    <t>ACETONE INSOLUBLE</t>
  </si>
  <si>
    <t>HEXANE INSOLUBLE</t>
  </si>
  <si>
    <t>COLOR (GARDENER SCALE)</t>
  </si>
  <si>
    <t>90 TO 120 POISE</t>
  </si>
  <si>
    <t>0.80% MAX</t>
  </si>
  <si>
    <t>26MG KOH/GM MAX</t>
  </si>
  <si>
    <t>05 MEQ/KG MAX</t>
  </si>
  <si>
    <t>62% MIN</t>
  </si>
  <si>
    <t>0.20% MAX</t>
  </si>
  <si>
    <t>11+</t>
  </si>
  <si>
    <t>CHEMICAL ANALYSIS</t>
  </si>
  <si>
    <t>MICROBIOLOGICAL ANALYSIS</t>
  </si>
  <si>
    <t>TOTAL PLATE COUNT</t>
  </si>
  <si>
    <t>YEAST &amp; MOLDS</t>
  </si>
  <si>
    <t>ENTEROBACTERIACEAE</t>
  </si>
  <si>
    <t>COLIFORMS</t>
  </si>
  <si>
    <t>ESCHERICHIA COLI (E. COLI)</t>
  </si>
  <si>
    <t>SALMONELLA</t>
  </si>
  <si>
    <t>3000 CFU/GM MAX</t>
  </si>
  <si>
    <t>100 CFU/GM MAX</t>
  </si>
  <si>
    <t>ABSENT/GM</t>
  </si>
  <si>
    <t xml:space="preserve"> </t>
  </si>
  <si>
    <t>SOY LECITHIN (HYDROLYZED)</t>
  </si>
  <si>
    <t>VALID UP TO</t>
  </si>
  <si>
    <t>LE0039</t>
  </si>
  <si>
    <t>ADVANCE</t>
  </si>
  <si>
    <t>EX-WORKS</t>
  </si>
  <si>
    <t>1) OCHRATOXIN -A (40 PPM LINIT)</t>
  </si>
  <si>
    <t>2) PEANUT PROTEIN (NOT DETECTED)</t>
  </si>
  <si>
    <t>3) MUSTRAD (NOT DETECTED)</t>
  </si>
  <si>
    <t>4) ALL SOY GMOS (NOT DETECTED)</t>
  </si>
  <si>
    <t>For SOYUG LIMITED</t>
  </si>
  <si>
    <t>UNIT PRICE INR/MT</t>
  </si>
  <si>
    <t>AMOUNT IN INR</t>
  </si>
  <si>
    <t>INR (in words):</t>
  </si>
  <si>
    <t>Twenty two lakh seven thousand five hundred twenty .</t>
  </si>
  <si>
    <t>SOYUG LIMITED
B-112, SHAKTI NAGAR, A-III, KOTA RAJASTHAN-324009</t>
  </si>
  <si>
    <t>SUPPLIER BANK DETAILS:</t>
  </si>
  <si>
    <t>CONDITIONS/ REMARK</t>
  </si>
  <si>
    <t>FINAL  DESTINATION</t>
  </si>
  <si>
    <t>MANDIDEEP, M.P.</t>
  </si>
  <si>
    <t>DESTINATION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</si>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</sst>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dd\.mm\.yyyy"/>
    <numFmt numFmtId="165" formatCode="[$INR]\ #,##0.0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78">
    <xf numFmtId="0" fontId="0" fillId="0" borderId="0" xfId="0"/>
    <xf numFmtId="0" fontId="2" fillId="2" borderId="4" xfId="0" applyFont="1" applyFill="1" applyBorder="1" applyAlignment="1">
      <alignment horizontal="center"/>
    </xf>
    <xf numFmtId="0" fontId="0" fillId="3" borderId="6" xfId="0" applyFill="1" applyBorder="1"/>
    <xf numFmtId="0" fontId="1" fillId="3" borderId="6" xfId="0" applyFont="1" applyFill="1" applyBorder="1"/>
    <xf numFmtId="0" fontId="0" fillId="0" borderId="8" xfId="0" applyBorder="1"/>
    <xf numFmtId="0" fontId="0" fillId="0" borderId="10" xfId="0" applyBorder="1"/>
    <xf numFmtId="0" fontId="1" fillId="0" borderId="10" xfId="0" applyFont="1" applyBorder="1"/>
    <xf numFmtId="0" fontId="2" fillId="2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2" xfId="0" applyFill="1" applyBorder="1"/>
    <xf numFmtId="0" fontId="0" fillId="0" borderId="14" xfId="0" applyBorder="1"/>
    <xf numFmtId="0" fontId="0" fillId="0" borderId="16" xfId="0" applyBorder="1"/>
    <xf numFmtId="0" fontId="2" fillId="2" borderId="17" xfId="0" applyFont="1" applyFill="1" applyBorder="1" applyAlignment="1">
      <alignment horizontal="center"/>
    </xf>
    <xf numFmtId="0" fontId="0" fillId="0" borderId="20" xfId="0" applyBorder="1"/>
    <xf numFmtId="0" fontId="0" fillId="4" borderId="16" xfId="0" applyFill="1" applyBorder="1"/>
    <xf numFmtId="0" fontId="5" fillId="0" borderId="23" xfId="0" applyFont="1" applyBorder="1"/>
    <xf numFmtId="164" fontId="0" fillId="0" borderId="8" xfId="0" applyNumberFormat="1" applyBorder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11" xfId="0" applyBorder="1"/>
    <xf numFmtId="0" fontId="0" fillId="0" borderId="4" xfId="0" applyBorder="1" applyAlignment="1">
      <alignment horizontal="center"/>
    </xf>
    <xf numFmtId="0" fontId="0" fillId="4" borderId="0" xfId="0" applyFill="1"/>
    <xf numFmtId="0" fontId="1" fillId="0" borderId="0" xfId="0" applyFont="1"/>
    <xf numFmtId="164" fontId="0" fillId="4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5" xfId="0" applyBorder="1" applyAlignment="1">
      <alignment horizontal="left" vertical="top"/>
    </xf>
    <xf numFmtId="0" fontId="0" fillId="4" borderId="10" xfId="0" applyFill="1" applyBorder="1"/>
    <xf numFmtId="0" fontId="1" fillId="4" borderId="0" xfId="0" applyFont="1" applyFill="1"/>
    <xf numFmtId="4" fontId="0" fillId="0" borderId="4" xfId="0" applyNumberFormat="1" applyBorder="1" applyAlignment="1">
      <alignment horizontal="center"/>
    </xf>
    <xf numFmtId="4" fontId="0" fillId="0" borderId="17" xfId="0" applyNumberFormat="1" applyBorder="1" applyAlignment="1">
      <alignment horizontal="center"/>
    </xf>
    <xf numFmtId="165" fontId="1" fillId="3" borderId="18" xfId="1" applyNumberFormat="1" applyFont="1" applyFill="1" applyBorder="1" applyAlignment="1">
      <alignment horizontal="center"/>
    </xf>
    <xf numFmtId="4" fontId="1" fillId="3" borderId="6" xfId="0" applyNumberFormat="1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8" fillId="0" borderId="13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1" fillId="3" borderId="11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0" fillId="0" borderId="17" xfId="0" applyBorder="1" applyAlignment="1">
      <alignment horizontal="left"/>
    </xf>
    <xf numFmtId="0" fontId="1" fillId="3" borderId="17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center"/>
    </xf>
    <xf numFmtId="0" fontId="0" fillId="0" borderId="7" xfId="0" applyBorder="1"/>
    <xf numFmtId="0" fontId="0" fillId="0" borderId="15" xfId="0" applyBorder="1"/>
    <xf numFmtId="0" fontId="1" fillId="3" borderId="10" xfId="0" applyFont="1" applyFill="1" applyBorder="1"/>
    <xf numFmtId="0" fontId="0" fillId="0" borderId="0" xfId="0"/>
    <xf numFmtId="0" fontId="1" fillId="3" borderId="0" xfId="0" applyFont="1" applyFill="1"/>
    <xf numFmtId="0" fontId="0" fillId="0" borderId="16" xfId="0" applyBorder="1"/>
    <xf numFmtId="0" fontId="0" fillId="0" borderId="10" xfId="0" applyBorder="1"/>
    <xf numFmtId="0" fontId="4" fillId="2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0" fillId="4" borderId="0" xfId="0" applyFill="1"/>
    <xf numFmtId="0" fontId="0" fillId="4" borderId="16" xfId="0" applyFill="1" applyBorder="1"/>
    <xf numFmtId="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13" xfId="0" applyFont="1" applyFill="1" applyBorder="1"/>
    <xf numFmtId="0" fontId="0" fillId="0" borderId="2" xfId="0" applyBorder="1"/>
    <xf numFmtId="0" fontId="1" fillId="3" borderId="5" xfId="0" applyFont="1" applyFill="1" applyBorder="1"/>
    <xf numFmtId="0" fontId="1" fillId="3" borderId="2" xfId="0" applyFont="1" applyFill="1" applyBorder="1"/>
    <xf numFmtId="0" fontId="1" fillId="3" borderId="19" xfId="0" applyFont="1" applyFill="1" applyBorder="1"/>
    <xf numFmtId="0" fontId="1" fillId="0" borderId="10" xfId="0" applyFont="1" applyBorder="1"/>
    <xf numFmtId="0" fontId="1" fillId="0" borderId="0" xfId="0" applyFont="1"/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6" xfId="0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22" xfId="0" applyFill="1" applyBorder="1" applyAlignment="1">
      <alignment horizontal="left" vertical="center"/>
    </xf>
    <xf numFmtId="0" fontId="5" fillId="4" borderId="3" xfId="0" applyFont="1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19" xfId="0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7530-F105-8040-982B-BE8C9C02A2F3}">
  <sheetPr>
    <pageSetUpPr fitToPage="1"/>
  </sheetPr>
  <dimension ref="A1:F48"/>
  <sheetViews>
    <sheetView tabSelected="1" topLeftCell="A3" zoomScale="120" zoomScaleNormal="120" workbookViewId="0">
      <selection activeCell="G10" sqref="G10"/>
    </sheetView>
  </sheetViews>
  <sheetFormatPr defaultColWidth="11" defaultRowHeight="15.75" x14ac:dyDescent="0.25"/>
  <cols>
    <col min="1" max="1" width="23.625" customWidth="1"/>
    <col min="2" max="2" width="27.25" customWidth="1"/>
    <col min="3" max="3" width="9.25" customWidth="1"/>
    <col min="4" max="4" width="28.625" customWidth="1"/>
    <col min="5" max="5" width="16" customWidth="1"/>
    <col min="6" max="6" width="20" customWidth="1"/>
  </cols>
  <sheetData>
    <row r="1" spans="1:6" ht="24.95" customHeight="1" x14ac:dyDescent="0.4">
      <c r="A1" s="41" t="s">
        <v>3</v>
      </c>
      <c r="B1" s="42"/>
      <c r="C1" s="42"/>
      <c r="D1" s="42"/>
      <c r="E1" s="42"/>
      <c r="F1" s="43"/>
    </row>
    <row r="2" spans="1:6" x14ac:dyDescent="0.25">
      <c r="A2" s="49" t="s">
        <v>4</v>
      </c>
      <c r="B2" s="45"/>
      <c r="C2" s="45"/>
      <c r="D2" s="45"/>
      <c r="E2" s="45"/>
      <c r="F2" s="47"/>
    </row>
    <row r="3" spans="1:6" x14ac:dyDescent="0.25">
      <c r="A3" s="50" t="s">
        <v>21</v>
      </c>
      <c r="B3" s="45"/>
      <c r="C3" s="45"/>
      <c r="D3" s="45"/>
      <c r="E3" s="45"/>
      <c r="F3" s="47"/>
    </row>
    <row r="4" spans="1:6" ht="24.95" customHeight="1" x14ac:dyDescent="0.35">
      <c r="A4" s="51" t="s">
        <v>0</v>
      </c>
      <c r="B4" s="45"/>
      <c r="C4" s="45"/>
      <c r="D4" s="45"/>
      <c r="E4" s="45"/>
      <c r="F4" s="47"/>
    </row>
    <row r="5" spans="1:6" x14ac:dyDescent="0.25">
      <c r="A5" s="5"/>
      <c r="F5" s="11"/>
    </row>
    <row r="6" spans="1:6" x14ac:dyDescent="0.25">
      <c r="A6" s="6" t="s">
        <v>5</v>
      </c>
      <c r="B6" s="21" t="s">
        <v>50</v>
      </c>
      <c r="D6" s="22" t="s">
        <v>6</v>
      </c>
      <c r="E6" s="23">
        <v>46184</v>
      </c>
      <c r="F6" s="11"/>
    </row>
    <row r="7" spans="1:6" x14ac:dyDescent="0.25">
      <c r="A7" s="5"/>
      <c r="D7" s="28" t="s">
        <v>49</v>
      </c>
      <c r="E7" s="23">
        <v>46203</v>
      </c>
      <c r="F7" s="11"/>
    </row>
    <row r="8" spans="1:6" x14ac:dyDescent="0.25">
      <c r="A8" s="5"/>
      <c r="E8" s="23"/>
      <c r="F8" s="11"/>
    </row>
    <row r="9" spans="1:6" x14ac:dyDescent="0.25">
      <c r="A9" s="44" t="s">
        <v>7</v>
      </c>
      <c r="B9" s="45"/>
      <c r="C9" s="45"/>
      <c r="D9" s="46" t="s">
        <v>68</v>
      </c>
      <c r="E9" s="45"/>
      <c r="F9" s="47"/>
    </row>
    <row r="10" spans="1:6" ht="98.25" customHeight="1" x14ac:dyDescent="0.25">
      <c r="A10" s="64" t="s">
        <v>20</v>
      </c>
      <c r="B10" s="65"/>
      <c r="C10" s="65"/>
      <c r="D10" s="66" t="s">
        <v>62</v>
      </c>
      <c r="E10" s="66"/>
      <c r="F10" s="67"/>
    </row>
    <row r="11" spans="1:6" x14ac:dyDescent="0.25">
      <c r="A11" s="44" t="s">
        <v>67</v>
      </c>
      <c r="B11" s="45"/>
      <c r="C11" s="45"/>
      <c r="D11" s="46" t="s">
        <v>8</v>
      </c>
      <c r="E11" s="45"/>
      <c r="F11" s="47"/>
    </row>
    <row r="12" spans="1:6" x14ac:dyDescent="0.25">
      <c r="A12" s="48" t="s">
        <v>66</v>
      </c>
      <c r="B12" s="45"/>
      <c r="C12" s="45"/>
      <c r="D12" s="52" t="s">
        <v>51</v>
      </c>
      <c r="E12" s="52"/>
      <c r="F12" s="53"/>
    </row>
    <row r="13" spans="1:6" x14ac:dyDescent="0.25">
      <c r="A13" s="44" t="s">
        <v>65</v>
      </c>
      <c r="B13" s="45"/>
      <c r="C13" s="45"/>
      <c r="D13" s="46" t="s">
        <v>9</v>
      </c>
      <c r="E13" s="45"/>
      <c r="F13" s="47"/>
    </row>
    <row r="14" spans="1:6" x14ac:dyDescent="0.25">
      <c r="A14" s="48" t="s">
        <v>66</v>
      </c>
      <c r="B14" s="45"/>
      <c r="C14" s="45"/>
      <c r="D14" s="52" t="s">
        <v>52</v>
      </c>
      <c r="E14" s="52"/>
      <c r="F14" s="53"/>
    </row>
    <row r="15" spans="1:6" x14ac:dyDescent="0.25">
      <c r="A15" s="27"/>
      <c r="B15" s="21"/>
      <c r="C15" s="21"/>
      <c r="D15" s="21"/>
      <c r="E15" s="21"/>
      <c r="F15" s="14"/>
    </row>
    <row r="16" spans="1:6" x14ac:dyDescent="0.25">
      <c r="A16" s="27"/>
      <c r="B16" s="21"/>
      <c r="C16" s="21"/>
      <c r="D16" s="21"/>
      <c r="E16" s="21"/>
      <c r="F16" s="14"/>
    </row>
    <row r="17" spans="1:6" ht="20.100000000000001" customHeight="1" x14ac:dyDescent="0.25">
      <c r="A17" s="7" t="s">
        <v>10</v>
      </c>
      <c r="B17" s="1" t="s">
        <v>11</v>
      </c>
      <c r="C17" s="1" t="s">
        <v>12</v>
      </c>
      <c r="D17" s="56" t="s">
        <v>58</v>
      </c>
      <c r="E17" s="56"/>
      <c r="F17" s="12" t="s">
        <v>59</v>
      </c>
    </row>
    <row r="18" spans="1:6" x14ac:dyDescent="0.25">
      <c r="A18" s="8">
        <v>1</v>
      </c>
      <c r="B18" s="20" t="s">
        <v>48</v>
      </c>
      <c r="C18" s="29">
        <v>30.24</v>
      </c>
      <c r="D18" s="54">
        <v>73000</v>
      </c>
      <c r="E18" s="55"/>
      <c r="F18" s="30">
        <f>D18*C18</f>
        <v>2207520</v>
      </c>
    </row>
    <row r="19" spans="1:6" x14ac:dyDescent="0.25">
      <c r="A19" s="8">
        <v>2</v>
      </c>
      <c r="B19" s="18"/>
      <c r="C19" s="29"/>
      <c r="D19" s="54"/>
      <c r="E19" s="55"/>
      <c r="F19" s="30" t="str">
        <f>IF(OR(C19="",D19=""),"",C19*D19)</f>
        <v/>
      </c>
    </row>
    <row r="20" spans="1:6" x14ac:dyDescent="0.25">
      <c r="A20" s="8">
        <v>3</v>
      </c>
      <c r="B20" s="18"/>
      <c r="C20" s="29"/>
      <c r="D20" s="54"/>
      <c r="E20" s="55"/>
      <c r="F20" s="30" t="str">
        <f>IF(OR(C20="",D20=""),"",C20*D20)</f>
        <v/>
      </c>
    </row>
    <row r="21" spans="1:6" x14ac:dyDescent="0.25">
      <c r="A21" s="8">
        <v>4</v>
      </c>
      <c r="B21" s="18"/>
      <c r="C21" s="29"/>
      <c r="D21" s="54"/>
      <c r="E21" s="55"/>
      <c r="F21" s="30" t="str">
        <f>IF(OR(C21="",D21=""),"",C21*D21)</f>
        <v/>
      </c>
    </row>
    <row r="22" spans="1:6" ht="16.5" thickBot="1" x14ac:dyDescent="0.3">
      <c r="A22" s="9"/>
      <c r="B22" s="3" t="s">
        <v>13</v>
      </c>
      <c r="C22" s="32">
        <f>SUM(C18:C21)</f>
        <v>30.24</v>
      </c>
      <c r="D22" s="2"/>
      <c r="E22" s="2"/>
      <c r="F22" s="31">
        <f>SUM(F18:F21)</f>
        <v>2207520</v>
      </c>
    </row>
    <row r="23" spans="1:6" x14ac:dyDescent="0.25">
      <c r="A23" s="68" t="s">
        <v>60</v>
      </c>
      <c r="B23" s="70" t="s">
        <v>61</v>
      </c>
      <c r="C23" s="70"/>
      <c r="D23" s="70"/>
      <c r="E23" s="70"/>
      <c r="F23" s="71"/>
    </row>
    <row r="24" spans="1:6" x14ac:dyDescent="0.25">
      <c r="A24" s="69"/>
      <c r="B24" s="72"/>
      <c r="C24" s="72"/>
      <c r="D24" s="72"/>
      <c r="E24" s="72"/>
      <c r="F24" s="73"/>
    </row>
    <row r="25" spans="1:6" x14ac:dyDescent="0.25">
      <c r="A25" s="57" t="s">
        <v>64</v>
      </c>
      <c r="B25" s="58"/>
      <c r="C25" s="58"/>
      <c r="D25" s="59" t="s">
        <v>63</v>
      </c>
      <c r="E25" s="60"/>
      <c r="F25" s="61"/>
    </row>
    <row r="26" spans="1:6" x14ac:dyDescent="0.25">
      <c r="A26" s="34" t="s">
        <v>53</v>
      </c>
      <c r="B26" s="35"/>
      <c r="C26" s="36"/>
      <c r="D26" s="26" t="s">
        <v>14</v>
      </c>
      <c r="E26" s="76"/>
      <c r="F26" s="77"/>
    </row>
    <row r="27" spans="1:6" x14ac:dyDescent="0.25">
      <c r="A27" s="34" t="s">
        <v>54</v>
      </c>
      <c r="B27" s="35"/>
      <c r="C27" s="36"/>
      <c r="D27" s="26" t="s">
        <v>15</v>
      </c>
      <c r="E27" s="76"/>
      <c r="F27" s="77"/>
    </row>
    <row r="28" spans="1:6" x14ac:dyDescent="0.25">
      <c r="A28" s="34" t="s">
        <v>55</v>
      </c>
      <c r="B28" s="35"/>
      <c r="C28" s="36"/>
      <c r="D28" s="26" t="s">
        <v>16</v>
      </c>
      <c r="E28" s="76"/>
      <c r="F28" s="77"/>
    </row>
    <row r="29" spans="1:6" x14ac:dyDescent="0.25">
      <c r="A29" s="34" t="s">
        <v>56</v>
      </c>
      <c r="B29" s="35"/>
      <c r="C29" s="36"/>
      <c r="D29" s="26" t="s">
        <v>17</v>
      </c>
      <c r="E29" s="76"/>
      <c r="F29" s="77"/>
    </row>
    <row r="30" spans="1:6" x14ac:dyDescent="0.25">
      <c r="A30" s="15"/>
      <c r="B30" s="74"/>
      <c r="C30" s="75"/>
      <c r="F30" s="11"/>
    </row>
    <row r="31" spans="1:6" x14ac:dyDescent="0.25">
      <c r="A31" s="37" t="s">
        <v>36</v>
      </c>
      <c r="B31" s="38"/>
      <c r="C31" s="38"/>
      <c r="D31" s="38" t="s">
        <v>37</v>
      </c>
      <c r="E31" s="38"/>
      <c r="F31" s="40"/>
    </row>
    <row r="32" spans="1:6" x14ac:dyDescent="0.25">
      <c r="A32" s="19" t="s">
        <v>22</v>
      </c>
      <c r="B32" s="33" t="s">
        <v>29</v>
      </c>
      <c r="C32" s="33"/>
      <c r="D32" s="18" t="s">
        <v>38</v>
      </c>
      <c r="E32" s="33" t="s">
        <v>44</v>
      </c>
      <c r="F32" s="39"/>
    </row>
    <row r="33" spans="1:6" x14ac:dyDescent="0.25">
      <c r="A33" s="19" t="s">
        <v>23</v>
      </c>
      <c r="B33" s="33" t="s">
        <v>30</v>
      </c>
      <c r="C33" s="33"/>
      <c r="D33" s="18" t="s">
        <v>39</v>
      </c>
      <c r="E33" s="33" t="s">
        <v>45</v>
      </c>
      <c r="F33" s="39"/>
    </row>
    <row r="34" spans="1:6" x14ac:dyDescent="0.25">
      <c r="A34" s="19" t="s">
        <v>24</v>
      </c>
      <c r="B34" s="33" t="s">
        <v>31</v>
      </c>
      <c r="C34" s="33"/>
      <c r="D34" s="18" t="s">
        <v>40</v>
      </c>
      <c r="E34" s="33" t="s">
        <v>46</v>
      </c>
      <c r="F34" s="39"/>
    </row>
    <row r="35" spans="1:6" x14ac:dyDescent="0.25">
      <c r="A35" s="19" t="s">
        <v>25</v>
      </c>
      <c r="B35" s="33" t="s">
        <v>32</v>
      </c>
      <c r="C35" s="33"/>
      <c r="D35" s="18" t="s">
        <v>41</v>
      </c>
      <c r="E35" s="33" t="s">
        <v>46</v>
      </c>
      <c r="F35" s="39"/>
    </row>
    <row r="36" spans="1:6" x14ac:dyDescent="0.25">
      <c r="A36" s="19" t="s">
        <v>26</v>
      </c>
      <c r="B36" s="33" t="s">
        <v>33</v>
      </c>
      <c r="C36" s="33"/>
      <c r="D36" s="18" t="s">
        <v>42</v>
      </c>
      <c r="E36" s="33" t="s">
        <v>46</v>
      </c>
      <c r="F36" s="39"/>
    </row>
    <row r="37" spans="1:6" x14ac:dyDescent="0.25">
      <c r="A37" s="19" t="s">
        <v>27</v>
      </c>
      <c r="B37" s="33" t="s">
        <v>34</v>
      </c>
      <c r="C37" s="33"/>
      <c r="D37" s="18" t="s">
        <v>43</v>
      </c>
      <c r="E37" s="33" t="s">
        <v>46</v>
      </c>
      <c r="F37" s="39"/>
    </row>
    <row r="38" spans="1:6" x14ac:dyDescent="0.25">
      <c r="A38" s="19" t="s">
        <v>28</v>
      </c>
      <c r="B38" s="33" t="s">
        <v>35</v>
      </c>
      <c r="C38" s="33"/>
      <c r="D38" s="18"/>
      <c r="E38" s="33" t="s">
        <v>47</v>
      </c>
      <c r="F38" s="39"/>
    </row>
    <row r="39" spans="1:6" x14ac:dyDescent="0.25">
      <c r="A39" s="5"/>
      <c r="F39" s="11"/>
    </row>
    <row r="40" spans="1:6" x14ac:dyDescent="0.25">
      <c r="A40" s="24"/>
      <c r="B40" s="17"/>
      <c r="C40" s="17"/>
      <c r="D40" s="17"/>
      <c r="E40" s="17"/>
      <c r="F40" s="25"/>
    </row>
    <row r="41" spans="1:6" x14ac:dyDescent="0.25">
      <c r="A41" s="5"/>
      <c r="F41" s="11"/>
    </row>
    <row r="42" spans="1:6" x14ac:dyDescent="0.25">
      <c r="A42" s="62" t="s">
        <v>18</v>
      </c>
      <c r="B42" s="45"/>
      <c r="C42" s="45"/>
      <c r="D42" s="63" t="s">
        <v>57</v>
      </c>
      <c r="E42" s="45"/>
      <c r="F42" s="47"/>
    </row>
    <row r="43" spans="1:6" x14ac:dyDescent="0.25">
      <c r="A43" s="5"/>
      <c r="F43" s="11"/>
    </row>
    <row r="44" spans="1:6" x14ac:dyDescent="0.25">
      <c r="A44" s="5"/>
      <c r="F44" s="11"/>
    </row>
    <row r="45" spans="1:6" x14ac:dyDescent="0.25">
      <c r="A45" s="5"/>
      <c r="F45" s="11"/>
    </row>
    <row r="46" spans="1:6" x14ac:dyDescent="0.25">
      <c r="A46" s="5" t="s">
        <v>2</v>
      </c>
      <c r="D46" t="s">
        <v>2</v>
      </c>
      <c r="F46" s="11"/>
    </row>
    <row r="47" spans="1:6" x14ac:dyDescent="0.25">
      <c r="A47" s="5" t="s">
        <v>19</v>
      </c>
      <c r="D47" t="s">
        <v>19</v>
      </c>
      <c r="F47" s="11"/>
    </row>
    <row r="48" spans="1:6" x14ac:dyDescent="0.25">
      <c r="A48" s="10" t="s">
        <v>1</v>
      </c>
      <c r="B48" s="16">
        <f>E6</f>
        <v>46184</v>
      </c>
      <c r="C48" s="4"/>
      <c r="D48" s="4" t="s">
        <v>1</v>
      </c>
      <c r="E48" s="4"/>
      <c r="F48" s="13"/>
    </row>
  </sheetData>
  <mergeCells count="52">
    <mergeCell ref="A10:C10"/>
    <mergeCell ref="D10:F10"/>
    <mergeCell ref="A23:A24"/>
    <mergeCell ref="B23:F24"/>
    <mergeCell ref="B30:C30"/>
    <mergeCell ref="E26:F26"/>
    <mergeCell ref="E27:F27"/>
    <mergeCell ref="E28:F28"/>
    <mergeCell ref="E29:F29"/>
    <mergeCell ref="A25:C25"/>
    <mergeCell ref="D25:F25"/>
    <mergeCell ref="A42:C42"/>
    <mergeCell ref="D42:F42"/>
    <mergeCell ref="E32:F32"/>
    <mergeCell ref="E33:F33"/>
    <mergeCell ref="E34:F34"/>
    <mergeCell ref="E35:F35"/>
    <mergeCell ref="A14:C14"/>
    <mergeCell ref="D14:F14"/>
    <mergeCell ref="D20:E20"/>
    <mergeCell ref="D21:E21"/>
    <mergeCell ref="D17:E17"/>
    <mergeCell ref="D18:E18"/>
    <mergeCell ref="D19:E19"/>
    <mergeCell ref="E36:F36"/>
    <mergeCell ref="E37:F37"/>
    <mergeCell ref="E38:F38"/>
    <mergeCell ref="D31:F31"/>
    <mergeCell ref="A1:F1"/>
    <mergeCell ref="A11:C11"/>
    <mergeCell ref="D11:F11"/>
    <mergeCell ref="A12:C12"/>
    <mergeCell ref="A2:F2"/>
    <mergeCell ref="A3:F3"/>
    <mergeCell ref="A4:F4"/>
    <mergeCell ref="A9:C9"/>
    <mergeCell ref="D9:F9"/>
    <mergeCell ref="D12:F12"/>
    <mergeCell ref="A13:C13"/>
    <mergeCell ref="D13:F13"/>
    <mergeCell ref="B36:C36"/>
    <mergeCell ref="B37:C37"/>
    <mergeCell ref="B38:C38"/>
    <mergeCell ref="A26:C26"/>
    <mergeCell ref="A27:C27"/>
    <mergeCell ref="A28:C28"/>
    <mergeCell ref="A29:C29"/>
    <mergeCell ref="A31:C31"/>
    <mergeCell ref="B32:C32"/>
    <mergeCell ref="B33:C33"/>
    <mergeCell ref="B34:C34"/>
    <mergeCell ref="B35:C35"/>
  </mergeCells>
  <pageMargins left="0.7" right="0.7" top="0.78" bottom="0.45" header="0.2" footer="0.3"/>
  <pageSetup paperSize="9"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Shamit Kalra</dc:creator>
  <cp:lastModifiedBy>Leeladhar Kurmi</cp:lastModifiedBy>
  <cp:lastPrinted>2026-06-13T12:45:46Z</cp:lastPrinted>
  <dcterms:created xsi:type="dcterms:W3CDTF">2026-06-12T06:15:32Z</dcterms:created>
  <dcterms:modified xsi:type="dcterms:W3CDTF">2026-06-13T12:51:31Z</dcterms:modified>
</cp:coreProperties>
</file>